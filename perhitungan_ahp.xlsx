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TELAH PROGRES\"/>
    </mc:Choice>
  </mc:AlternateContent>
  <xr:revisionPtr revIDLastSave="0" documentId="13_ncr:1_{68F2D93B-4B04-4F90-A81F-AC04EA75AFC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HP_Si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  <c r="R23" i="1"/>
  <c r="R24" i="1"/>
  <c r="R25" i="1"/>
  <c r="R26" i="1"/>
  <c r="R27" i="1"/>
  <c r="R28" i="1"/>
  <c r="R29" i="1"/>
  <c r="R30" i="1"/>
  <c r="R31" i="1"/>
  <c r="R32" i="1"/>
  <c r="R22" i="1"/>
  <c r="O23" i="1"/>
  <c r="O24" i="1"/>
  <c r="O25" i="1"/>
  <c r="O26" i="1"/>
  <c r="O27" i="1"/>
  <c r="O28" i="1"/>
  <c r="O29" i="1"/>
  <c r="O30" i="1"/>
  <c r="O31" i="1"/>
  <c r="O32" i="1"/>
  <c r="O22" i="1"/>
  <c r="P23" i="1"/>
  <c r="P24" i="1"/>
  <c r="S24" i="1" s="1"/>
  <c r="P25" i="1"/>
  <c r="P26" i="1"/>
  <c r="P27" i="1"/>
  <c r="P28" i="1"/>
  <c r="P29" i="1"/>
  <c r="P30" i="1"/>
  <c r="P31" i="1"/>
  <c r="P32" i="1"/>
  <c r="Q22" i="1"/>
  <c r="N32" i="1"/>
  <c r="Q32" i="1" s="1"/>
  <c r="D48" i="1"/>
  <c r="D47" i="1"/>
  <c r="D46" i="1"/>
  <c r="D49" i="1"/>
  <c r="D50" i="1"/>
  <c r="D51" i="1"/>
  <c r="D52" i="1"/>
  <c r="D53" i="1"/>
  <c r="D54" i="1"/>
  <c r="D55" i="1"/>
  <c r="N23" i="1"/>
  <c r="N24" i="1"/>
  <c r="N25" i="1"/>
  <c r="N26" i="1"/>
  <c r="N27" i="1"/>
  <c r="N28" i="1"/>
  <c r="N29" i="1"/>
  <c r="N30" i="1"/>
  <c r="N31" i="1"/>
  <c r="C7" i="1"/>
  <c r="F10" i="1"/>
  <c r="E9" i="1"/>
  <c r="E10" i="1" s="1"/>
  <c r="E17" i="1" s="1"/>
  <c r="D9" i="1"/>
  <c r="C9" i="1"/>
  <c r="D8" i="1"/>
  <c r="D10" i="1" s="1"/>
  <c r="C8" i="1"/>
  <c r="N22" i="1"/>
  <c r="J14" i="1"/>
  <c r="Q31" i="1" s="1"/>
  <c r="S23" i="1" l="1"/>
  <c r="S32" i="1"/>
  <c r="S31" i="1"/>
  <c r="S30" i="1"/>
  <c r="S29" i="1"/>
  <c r="S28" i="1"/>
  <c r="S27" i="1"/>
  <c r="S26" i="1"/>
  <c r="S25" i="1"/>
  <c r="Q30" i="1"/>
  <c r="C10" i="1"/>
  <c r="Q23" i="1"/>
  <c r="Q25" i="1"/>
  <c r="Q29" i="1"/>
  <c r="Q24" i="1"/>
  <c r="Q26" i="1"/>
  <c r="Q28" i="1"/>
  <c r="Q27" i="1"/>
  <c r="F17" i="1"/>
  <c r="F15" i="1"/>
  <c r="F14" i="1"/>
  <c r="F16" i="1"/>
  <c r="E14" i="1"/>
  <c r="E16" i="1"/>
  <c r="E15" i="1"/>
  <c r="D16" i="1"/>
  <c r="C15" i="1"/>
  <c r="D17" i="1" l="1"/>
  <c r="D14" i="1"/>
  <c r="D15" i="1"/>
  <c r="G15" i="1" s="1"/>
  <c r="C16" i="1"/>
  <c r="G16" i="1" s="1"/>
  <c r="C17" i="1"/>
  <c r="C14" i="1"/>
  <c r="G14" i="1" l="1"/>
  <c r="G17" i="1"/>
  <c r="U24" i="1" l="1"/>
  <c r="U26" i="1"/>
  <c r="G18" i="1"/>
  <c r="S22" i="1"/>
  <c r="T25" i="1" l="1"/>
  <c r="T29" i="1"/>
  <c r="T31" i="1"/>
  <c r="T23" i="1"/>
  <c r="T28" i="1"/>
  <c r="T32" i="1"/>
  <c r="T27" i="1"/>
  <c r="T22" i="1"/>
  <c r="T26" i="1"/>
  <c r="T24" i="1"/>
  <c r="T30" i="1"/>
  <c r="U23" i="1"/>
  <c r="U22" i="1"/>
  <c r="C46" i="1" l="1" a="1"/>
  <c r="C46" i="1" s="1"/>
  <c r="C55" i="1" a="1"/>
  <c r="C55" i="1" s="1"/>
  <c r="C54" i="1" a="1"/>
  <c r="C54" i="1" s="1"/>
  <c r="C51" i="1" a="1"/>
  <c r="C51" i="1" s="1"/>
  <c r="C50" i="1" a="1"/>
  <c r="C50" i="1" s="1"/>
  <c r="C48" i="1" a="1"/>
  <c r="C48" i="1" s="1"/>
  <c r="C47" i="1" a="1"/>
  <c r="C47" i="1" s="1"/>
  <c r="C52" i="1" a="1"/>
  <c r="C52" i="1" s="1"/>
  <c r="C53" i="1" a="1"/>
  <c r="C53" i="1" s="1"/>
  <c r="C49" i="1" a="1"/>
  <c r="C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<sst xmlns="http://schemas.openxmlformats.org/spreadsheetml/2006/main" count="72" uniqueCount="49">
  <si>
    <t>Pairwise Matrix (4 Kriteria)</t>
  </si>
  <si>
    <t>Bobot Fasilitas</t>
  </si>
  <si>
    <t>Kriteria</t>
  </si>
  <si>
    <t>Harga</t>
  </si>
  <si>
    <t>Jarak</t>
  </si>
  <si>
    <t>Fasilitas</t>
  </si>
  <si>
    <t>Rating</t>
  </si>
  <si>
    <t>Weight</t>
  </si>
  <si>
    <t>Wifi</t>
  </si>
  <si>
    <t>AC</t>
  </si>
  <si>
    <t>Free listrik</t>
  </si>
  <si>
    <t>Parkir</t>
  </si>
  <si>
    <t>Jumlah Kolom</t>
  </si>
  <si>
    <t>Kamar mandi dalam</t>
  </si>
  <si>
    <t>Dapur</t>
  </si>
  <si>
    <t>Normalisasi + Bobot</t>
  </si>
  <si>
    <t>Laundry</t>
  </si>
  <si>
    <t>Bobot</t>
  </si>
  <si>
    <t>CCTV</t>
  </si>
  <si>
    <t>Total Bobot Fasilitas</t>
  </si>
  <si>
    <t>Total Bobot</t>
  </si>
  <si>
    <t>Data 5 Kos + Ranking Otomatis</t>
  </si>
  <si>
    <t>Nama Kos</t>
  </si>
  <si>
    <t>Jarak (km)</t>
  </si>
  <si>
    <t>Free Listrik</t>
  </si>
  <si>
    <t>KM Dalam</t>
  </si>
  <si>
    <t>Skor Fasilitas</t>
  </si>
  <si>
    <t>Norm Harga</t>
  </si>
  <si>
    <t>Norm Jarak</t>
  </si>
  <si>
    <t>Norm Fasilitas</t>
  </si>
  <si>
    <t>Norm Rating</t>
  </si>
  <si>
    <t>Skor Akhir</t>
  </si>
  <si>
    <t>Rank</t>
  </si>
  <si>
    <t>Hasil Urut Otomatis</t>
  </si>
  <si>
    <t>Urutan</t>
  </si>
  <si>
    <t>Skor</t>
  </si>
  <si>
    <t>Perhitungan AHP Kost HauNiaKos</t>
  </si>
  <si>
    <t>Kos Herman</t>
  </si>
  <si>
    <t>Kos Lexa</t>
  </si>
  <si>
    <t>Kos Elemloi</t>
  </si>
  <si>
    <t>No</t>
  </si>
  <si>
    <t>Kos Kemak</t>
  </si>
  <si>
    <t>Kos Iben</t>
  </si>
  <si>
    <t>Kos Netti</t>
  </si>
  <si>
    <t>Kos Mesak</t>
  </si>
  <si>
    <t>Kos Loriku</t>
  </si>
  <si>
    <t>Kos Delta</t>
  </si>
  <si>
    <t>Kos Azul</t>
  </si>
  <si>
    <t>Kos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</si>
</sst>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2" fontId="0" fillId="5" borderId="1" xfId="0" applyNumberForma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topLeftCell="B1" zoomScale="52" zoomScaleNormal="70" workbookViewId="0">
      <pane ySplit="21" topLeftCell="A22" activePane="bottomLeft" state="frozen"/>
      <selection pane="bottomLeft" activeCell="P22" sqref="P21:P22"/>
    </sheetView>
  </sheetViews>
  <sheetFormatPr defaultColWidth="8.77734375" defaultRowHeight="14.4" x14ac:dyDescent="0.3"/>
  <cols>
    <col min="1" max="1" width="4.109375" customWidth="1"/>
    <col min="2" max="3" width="14" bestFit="1" customWidth="1"/>
    <col min="4" max="4" width="10" customWidth="1"/>
    <col min="5" max="5" width="9" customWidth="1"/>
    <col min="6" max="6" width="12.109375" bestFit="1" customWidth="1"/>
    <col min="7" max="7" width="5.77734375" bestFit="1" customWidth="1"/>
    <col min="8" max="8" width="11" customWidth="1"/>
    <col min="9" max="9" width="16.44140625" bestFit="1" customWidth="1"/>
    <col min="10" max="10" width="10" customWidth="1"/>
    <col min="11" max="11" width="8" customWidth="1"/>
    <col min="12" max="12" width="9" customWidth="1"/>
    <col min="13" max="13" width="7" customWidth="1"/>
    <col min="14" max="14" width="14" customWidth="1"/>
    <col min="15" max="16" width="11" customWidth="1"/>
    <col min="17" max="17" width="14" customWidth="1"/>
    <col min="18" max="18" width="12" customWidth="1"/>
    <col min="19" max="19" width="11" customWidth="1"/>
    <col min="20" max="20" width="9.5546875" customWidth="1"/>
    <col min="21" max="21" width="11.77734375" hidden="1" customWidth="1"/>
    <col min="22" max="22" width="8" customWidth="1"/>
    <col min="23" max="23" width="18" customWidth="1"/>
    <col min="24" max="24" width="11" customWidth="1"/>
  </cols>
  <sheetData>
    <row r="1" spans="2:10" ht="17.399999999999999" x14ac:dyDescent="0.3">
      <c r="B1" s="13" t="s">
        <v>36</v>
      </c>
      <c r="C1" s="12"/>
      <c r="D1" s="12"/>
      <c r="E1" s="12"/>
      <c r="F1" s="12"/>
      <c r="G1" s="12"/>
      <c r="H1" s="12"/>
      <c r="I1" s="12"/>
      <c r="J1" s="12"/>
    </row>
    <row r="2" spans="2:10" x14ac:dyDescent="0.3">
      <c r="B2" s="14"/>
      <c r="C2" s="12"/>
      <c r="D2" s="12"/>
      <c r="E2" s="12"/>
      <c r="F2" s="12"/>
      <c r="G2" s="12"/>
      <c r="H2" s="12"/>
      <c r="I2" s="12"/>
      <c r="J2" s="12"/>
    </row>
    <row r="4" spans="2:10" x14ac:dyDescent="0.3">
      <c r="B4" s="11" t="s">
        <v>0</v>
      </c>
      <c r="C4" s="12"/>
      <c r="D4" s="12"/>
      <c r="E4" s="12"/>
      <c r="F4" s="12"/>
      <c r="I4" s="11" t="s">
        <v>1</v>
      </c>
      <c r="J4" s="12"/>
    </row>
    <row r="5" spans="2:10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I5" s="1" t="s">
        <v>5</v>
      </c>
      <c r="J5" s="1" t="s">
        <v>7</v>
      </c>
    </row>
    <row r="6" spans="2:10" x14ac:dyDescent="0.3">
      <c r="B6" s="2" t="s">
        <v>3</v>
      </c>
      <c r="C6" s="3">
        <v>1</v>
      </c>
      <c r="D6" s="4">
        <v>7</v>
      </c>
      <c r="E6" s="4">
        <v>5</v>
      </c>
      <c r="F6" s="4">
        <v>3</v>
      </c>
      <c r="I6" s="5" t="s">
        <v>8</v>
      </c>
      <c r="J6" s="4">
        <v>5</v>
      </c>
    </row>
    <row r="7" spans="2:10" x14ac:dyDescent="0.3">
      <c r="B7" s="2" t="s">
        <v>4</v>
      </c>
      <c r="C7" s="6">
        <f>IF(D6&gt;0,1/D6,0)</f>
        <v>0.14285714285714285</v>
      </c>
      <c r="D7" s="3">
        <v>1</v>
      </c>
      <c r="E7" s="4">
        <v>3</v>
      </c>
      <c r="F7" s="4">
        <v>5</v>
      </c>
      <c r="I7" s="5" t="s">
        <v>9</v>
      </c>
      <c r="J7" s="4">
        <v>4</v>
      </c>
    </row>
    <row r="8" spans="2:10" x14ac:dyDescent="0.3">
      <c r="B8" s="2" t="s">
        <v>5</v>
      </c>
      <c r="C8" s="6">
        <f>IF(E6&gt;0,1/E6,0)</f>
        <v>0.2</v>
      </c>
      <c r="D8" s="6">
        <f>IF(F7&gt;0,1/F7,0)</f>
        <v>0.2</v>
      </c>
      <c r="E8" s="3">
        <v>1</v>
      </c>
      <c r="F8" s="4">
        <v>3</v>
      </c>
      <c r="I8" s="5" t="s">
        <v>10</v>
      </c>
      <c r="J8" s="4">
        <v>4</v>
      </c>
    </row>
    <row r="9" spans="2:10" x14ac:dyDescent="0.3">
      <c r="B9" s="2" t="s">
        <v>6</v>
      </c>
      <c r="C9" s="6">
        <f>IF(F6&gt;0,1/F6,0)</f>
        <v>0.33333333333333331</v>
      </c>
      <c r="D9" s="6">
        <f>IF(F7&gt;0,1/F7,0)</f>
        <v>0.2</v>
      </c>
      <c r="E9" s="6">
        <f>IF(F8&gt;0,1/F8,0)</f>
        <v>0.33333333333333331</v>
      </c>
      <c r="F9" s="3">
        <v>1</v>
      </c>
      <c r="I9" s="5" t="s">
        <v>11</v>
      </c>
      <c r="J9" s="4">
        <v>3</v>
      </c>
    </row>
    <row r="10" spans="2:10" x14ac:dyDescent="0.3">
      <c r="B10" s="1" t="s">
        <v>12</v>
      </c>
      <c r="C10" s="8">
        <f>SUM(C6:C9)</f>
        <v>1.676190476190476</v>
      </c>
      <c r="D10" s="3">
        <f>SUM(D6:D9)</f>
        <v>8.3999999999999986</v>
      </c>
      <c r="E10" s="8">
        <f>SUM(E6:E9)</f>
        <v>9.3333333333333339</v>
      </c>
      <c r="F10" s="3">
        <f>SUM(F6:F9)</f>
        <v>12</v>
      </c>
      <c r="I10" s="5" t="s">
        <v>13</v>
      </c>
      <c r="J10" s="4">
        <v>4</v>
      </c>
    </row>
    <row r="11" spans="2:10" x14ac:dyDescent="0.3">
      <c r="I11" s="5" t="s">
        <v>14</v>
      </c>
      <c r="J11" s="4">
        <v>2</v>
      </c>
    </row>
    <row r="12" spans="2:10" x14ac:dyDescent="0.3">
      <c r="B12" s="11" t="s">
        <v>15</v>
      </c>
      <c r="C12" s="12"/>
      <c r="D12" s="12"/>
      <c r="E12" s="12"/>
      <c r="F12" s="12"/>
      <c r="G12" s="12"/>
      <c r="I12" s="5" t="s">
        <v>16</v>
      </c>
      <c r="J12" s="4">
        <v>2</v>
      </c>
    </row>
    <row r="13" spans="2:10" x14ac:dyDescent="0.3"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17</v>
      </c>
      <c r="I13" s="5" t="s">
        <v>18</v>
      </c>
      <c r="J13" s="4">
        <v>2</v>
      </c>
    </row>
    <row r="14" spans="2:10" x14ac:dyDescent="0.3">
      <c r="B14" s="2" t="s">
        <v>3</v>
      </c>
      <c r="C14" s="8">
        <f>IFERROR(C6/C10,0)</f>
        <v>0.59659090909090917</v>
      </c>
      <c r="D14" s="8">
        <f>IFERROR(D6/D10,0)</f>
        <v>0.83333333333333348</v>
      </c>
      <c r="E14" s="8">
        <f>IFERROR(E6/E10,0)</f>
        <v>0.5357142857142857</v>
      </c>
      <c r="F14" s="3">
        <f>IFERROR(F6/F10,0)</f>
        <v>0.25</v>
      </c>
      <c r="G14" s="8">
        <f>AVERAGE(C14:F14)</f>
        <v>0.55390963203463206</v>
      </c>
      <c r="I14" s="2" t="s">
        <v>19</v>
      </c>
      <c r="J14" s="3">
        <f>SUM(J6:J13)</f>
        <v>26</v>
      </c>
    </row>
    <row r="15" spans="2:10" x14ac:dyDescent="0.3">
      <c r="B15" s="2" t="s">
        <v>4</v>
      </c>
      <c r="C15" s="8">
        <f>IFERROR(C7/C10,0)</f>
        <v>8.5227272727272735E-2</v>
      </c>
      <c r="D15" s="8">
        <f>IFERROR(D7/D10,0)</f>
        <v>0.11904761904761907</v>
      </c>
      <c r="E15" s="8">
        <f>IFERROR(E7/E10,0)</f>
        <v>0.3214285714285714</v>
      </c>
      <c r="F15" s="8">
        <f>IFERROR(F7/F10,0)</f>
        <v>0.41666666666666669</v>
      </c>
      <c r="G15" s="8">
        <f>AVERAGE(C15:F15)</f>
        <v>0.23559253246753248</v>
      </c>
    </row>
    <row r="16" spans="2:10" x14ac:dyDescent="0.3">
      <c r="B16" s="2" t="s">
        <v>5</v>
      </c>
      <c r="C16" s="8">
        <f>IFERROR(C8/C10,0)</f>
        <v>0.11931818181818184</v>
      </c>
      <c r="D16" s="8">
        <f>IFERROR(D8/D10,0)</f>
        <v>2.3809523809523815E-2</v>
      </c>
      <c r="E16" s="8">
        <f>IFERROR(E8/E10,0)</f>
        <v>0.10714285714285714</v>
      </c>
      <c r="F16" s="3">
        <f>IFERROR(F8/F10,0)</f>
        <v>0.25</v>
      </c>
      <c r="G16" s="8">
        <f>AVERAGE(C16:F16)</f>
        <v>0.1250676406926407</v>
      </c>
    </row>
    <row r="17" spans="1:21" x14ac:dyDescent="0.3">
      <c r="B17" s="2" t="s">
        <v>6</v>
      </c>
      <c r="C17" s="8">
        <f>IFERROR(C9/C10,0)</f>
        <v>0.19886363636363638</v>
      </c>
      <c r="D17" s="8">
        <f>IFERROR(D9/D10,0)</f>
        <v>2.3809523809523815E-2</v>
      </c>
      <c r="E17" s="8">
        <f>IFERROR(E9/E10,0)</f>
        <v>3.5714285714285712E-2</v>
      </c>
      <c r="F17" s="8">
        <f>IFERROR(F9/F10,0)</f>
        <v>8.3333333333333329E-2</v>
      </c>
      <c r="G17" s="8">
        <f>AVERAGE(C17:F17)</f>
        <v>8.5430194805194801E-2</v>
      </c>
    </row>
    <row r="18" spans="1:21" x14ac:dyDescent="0.3">
      <c r="F18" s="1" t="s">
        <v>20</v>
      </c>
      <c r="G18" s="3">
        <f>SUM(G14:G17)</f>
        <v>1</v>
      </c>
    </row>
    <row r="20" spans="1:21" x14ac:dyDescent="0.3">
      <c r="A20" s="15" t="s">
        <v>21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1" x14ac:dyDescent="0.3">
      <c r="A21" s="9" t="s">
        <v>40</v>
      </c>
      <c r="B21" s="1" t="s">
        <v>22</v>
      </c>
      <c r="C21" s="1" t="s">
        <v>3</v>
      </c>
      <c r="D21" s="1" t="s">
        <v>23</v>
      </c>
      <c r="E21" s="1" t="s">
        <v>6</v>
      </c>
      <c r="F21" s="1" t="s">
        <v>8</v>
      </c>
      <c r="G21" s="1" t="s">
        <v>9</v>
      </c>
      <c r="H21" s="1" t="s">
        <v>24</v>
      </c>
      <c r="I21" s="1" t="s">
        <v>11</v>
      </c>
      <c r="J21" s="1" t="s">
        <v>25</v>
      </c>
      <c r="K21" s="1" t="s">
        <v>14</v>
      </c>
      <c r="L21" s="1" t="s">
        <v>16</v>
      </c>
      <c r="M21" s="1" t="s">
        <v>18</v>
      </c>
      <c r="N21" s="1" t="s">
        <v>26</v>
      </c>
      <c r="O21" s="1" t="s">
        <v>27</v>
      </c>
      <c r="P21" s="1" t="s">
        <v>28</v>
      </c>
      <c r="Q21" s="1" t="s">
        <v>29</v>
      </c>
      <c r="R21" s="1" t="s">
        <v>30</v>
      </c>
      <c r="S21" s="1" t="s">
        <v>31</v>
      </c>
      <c r="T21" s="1" t="s">
        <v>32</v>
      </c>
    </row>
    <row r="22" spans="1:21" x14ac:dyDescent="0.3">
      <c r="A22" s="10">
        <v>1</v>
      </c>
      <c r="B22" s="5" t="s">
        <v>37</v>
      </c>
      <c r="C22" s="4">
        <v>800000</v>
      </c>
      <c r="D22" s="17">
        <v>5.5</v>
      </c>
      <c r="E22" s="4">
        <v>0</v>
      </c>
      <c r="F22" s="4">
        <v>0</v>
      </c>
      <c r="G22" s="4">
        <v>1</v>
      </c>
      <c r="H22" s="4">
        <v>0</v>
      </c>
      <c r="I22" s="4">
        <v>1</v>
      </c>
      <c r="J22" s="4">
        <v>1</v>
      </c>
      <c r="K22" s="4">
        <v>0</v>
      </c>
      <c r="L22" s="4">
        <v>0</v>
      </c>
      <c r="M22" s="4">
        <v>1</v>
      </c>
      <c r="N22" s="3">
        <f t="shared" ref="N22:N31" si="0">F22*$J$6+G22*$J$7+H22*$J$8+I22*$J$9+J22*$J$10+K22*$J$11+L22*$J$12+M22*$J$13</f>
        <v>13</v>
      </c>
      <c r="O22" s="3">
        <f>IFERROR(MIN($C$22:$C$32)/VALUE(C22),0)</f>
        <v>0.5</v>
      </c>
      <c r="P22" s="16">
        <f>IFERROR(MIN($D$22:$D$32)/VALUE(D22),0)</f>
        <v>0.14545454545454548</v>
      </c>
      <c r="Q22" s="8">
        <f>IFERROR(VALUE(N22)/$J$14,0)</f>
        <v>0.5</v>
      </c>
      <c r="R22" s="8">
        <f>IFERROR(VALUE(E22)/MAX($E$22:$E$32),0)</f>
        <v>0</v>
      </c>
      <c r="S22" s="8">
        <f>O22*$G$14+P22*$G$15+Q22*$G$16+R22*$G$17</f>
        <v>0.37375664108618656</v>
      </c>
      <c r="T22" s="3">
        <f>IF(S22&gt;0,RANK(S22,$S$22:$S$32,0),"")</f>
        <v>9</v>
      </c>
      <c r="U22" s="3">
        <f>IF(S22="",0,S22+ROW()/1000000)</f>
        <v>0.37377864108618658</v>
      </c>
    </row>
    <row r="23" spans="1:21" x14ac:dyDescent="0.3">
      <c r="A23" s="10">
        <v>2</v>
      </c>
      <c r="B23" s="5" t="s">
        <v>38</v>
      </c>
      <c r="C23" s="4">
        <v>1200000</v>
      </c>
      <c r="D23" s="17">
        <v>4.8</v>
      </c>
      <c r="E23" s="4">
        <v>0</v>
      </c>
      <c r="F23" s="4">
        <v>1</v>
      </c>
      <c r="G23" s="4">
        <v>1</v>
      </c>
      <c r="H23" s="4">
        <v>0</v>
      </c>
      <c r="I23" s="4">
        <v>1</v>
      </c>
      <c r="J23" s="4">
        <v>1</v>
      </c>
      <c r="K23" s="4">
        <v>0</v>
      </c>
      <c r="L23" s="4">
        <v>0</v>
      </c>
      <c r="M23" s="4">
        <v>1</v>
      </c>
      <c r="N23" s="3">
        <f t="shared" si="0"/>
        <v>18</v>
      </c>
      <c r="O23" s="16">
        <f t="shared" ref="O23:O32" si="1">IFERROR(MIN($C$22:$C$32)/VALUE(C23),0)</f>
        <v>0.33333333333333331</v>
      </c>
      <c r="P23" s="8">
        <f t="shared" ref="P23:P32" si="2">IFERROR(MIN($D$22:$D$32)/VALUE(D23),0)</f>
        <v>0.16666666666666669</v>
      </c>
      <c r="Q23" s="8">
        <f t="shared" ref="Q22:Q31" si="3">IFERROR(VALUE(N23)/$J$14,0)</f>
        <v>0.69230769230769229</v>
      </c>
      <c r="R23" s="8">
        <f t="shared" ref="R23:R32" si="4">IFERROR(VALUE(E23)/MAX($E$22:$E$32),0)</f>
        <v>0</v>
      </c>
      <c r="S23" s="8">
        <f t="shared" ref="S23:S32" si="5">O23*$G$14+P23*$G$15+Q23*$G$16+R23*$G$17</f>
        <v>0.31048725579975578</v>
      </c>
      <c r="T23" s="3">
        <f t="shared" ref="T23:T32" si="6">IF(S23&gt;0,RANK(S23,$S$22:$S$32,0),"")</f>
        <v>11</v>
      </c>
      <c r="U23" s="3">
        <f>IF(S23="",0,S23+ROW()/1000000)</f>
        <v>0.31051025579975577</v>
      </c>
    </row>
    <row r="24" spans="1:21" x14ac:dyDescent="0.3">
      <c r="A24" s="10">
        <v>3</v>
      </c>
      <c r="B24" s="5" t="s">
        <v>39</v>
      </c>
      <c r="C24" s="4">
        <v>550000</v>
      </c>
      <c r="D24" s="17">
        <v>4.5999999999999996</v>
      </c>
      <c r="E24" s="4">
        <v>0</v>
      </c>
      <c r="F24" s="4">
        <v>0</v>
      </c>
      <c r="G24" s="4">
        <v>1</v>
      </c>
      <c r="H24" s="4">
        <v>0</v>
      </c>
      <c r="I24" s="4">
        <v>1</v>
      </c>
      <c r="J24" s="4">
        <v>1</v>
      </c>
      <c r="K24" s="4">
        <v>0</v>
      </c>
      <c r="L24" s="4">
        <v>0</v>
      </c>
      <c r="M24" s="4">
        <v>1</v>
      </c>
      <c r="N24" s="3">
        <f t="shared" si="0"/>
        <v>13</v>
      </c>
      <c r="O24" s="16">
        <f t="shared" si="1"/>
        <v>0.72727272727272729</v>
      </c>
      <c r="P24" s="8">
        <f t="shared" si="2"/>
        <v>0.17391304347826089</v>
      </c>
      <c r="Q24" s="8">
        <f t="shared" si="3"/>
        <v>0.5</v>
      </c>
      <c r="R24" s="8">
        <f t="shared" si="4"/>
        <v>0</v>
      </c>
      <c r="S24" s="8">
        <f t="shared" si="5"/>
        <v>0.50634980344095959</v>
      </c>
      <c r="T24" s="3">
        <f t="shared" si="6"/>
        <v>5</v>
      </c>
      <c r="U24" s="3">
        <f>IF(S24="",0,S24+ROW()/1000000)</f>
        <v>0.50637380344095961</v>
      </c>
    </row>
    <row r="25" spans="1:21" x14ac:dyDescent="0.3">
      <c r="A25" s="10">
        <v>4</v>
      </c>
      <c r="B25" s="5" t="s">
        <v>41</v>
      </c>
      <c r="C25" s="4">
        <v>550000</v>
      </c>
      <c r="D25" s="17">
        <v>2.2000000000000002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  <c r="J25" s="4">
        <v>1</v>
      </c>
      <c r="K25" s="4">
        <v>0</v>
      </c>
      <c r="L25" s="4">
        <v>0</v>
      </c>
      <c r="M25" s="4">
        <v>0</v>
      </c>
      <c r="N25" s="3">
        <f t="shared" si="0"/>
        <v>7</v>
      </c>
      <c r="O25" s="16">
        <f t="shared" si="1"/>
        <v>0.72727272727272729</v>
      </c>
      <c r="P25" s="8">
        <f t="shared" si="2"/>
        <v>0.36363636363636365</v>
      </c>
      <c r="Q25" s="8">
        <f t="shared" si="3"/>
        <v>0.26923076923076922</v>
      </c>
      <c r="R25" s="8">
        <f t="shared" si="4"/>
        <v>0</v>
      </c>
      <c r="S25" s="8">
        <f t="shared" si="5"/>
        <v>0.5221854376683922</v>
      </c>
      <c r="T25" s="3">
        <f t="shared" si="6"/>
        <v>4</v>
      </c>
    </row>
    <row r="26" spans="1:21" x14ac:dyDescent="0.3">
      <c r="A26" s="10">
        <v>5</v>
      </c>
      <c r="B26" s="5" t="s">
        <v>43</v>
      </c>
      <c r="C26" s="4">
        <v>700000</v>
      </c>
      <c r="D26" s="17">
        <v>3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  <c r="K26" s="4">
        <v>1</v>
      </c>
      <c r="L26" s="4">
        <v>0</v>
      </c>
      <c r="M26" s="4">
        <v>1</v>
      </c>
      <c r="N26" s="3">
        <f t="shared" si="0"/>
        <v>11</v>
      </c>
      <c r="O26" s="16">
        <f t="shared" si="1"/>
        <v>0.5714285714285714</v>
      </c>
      <c r="P26" s="8">
        <f t="shared" si="2"/>
        <v>0.26666666666666666</v>
      </c>
      <c r="Q26" s="8">
        <f t="shared" si="3"/>
        <v>0.42307692307692307</v>
      </c>
      <c r="R26" s="8">
        <f t="shared" si="4"/>
        <v>0</v>
      </c>
      <c r="S26" s="8">
        <f t="shared" si="5"/>
        <v>0.43225769765948341</v>
      </c>
      <c r="T26" s="3">
        <f t="shared" si="6"/>
        <v>6</v>
      </c>
      <c r="U26" s="3">
        <f>IF(S25="",0,S25+ROW()/1000000)</f>
        <v>0.52221143766839218</v>
      </c>
    </row>
    <row r="27" spans="1:21" x14ac:dyDescent="0.3">
      <c r="A27" s="10">
        <v>6</v>
      </c>
      <c r="B27" s="5" t="s">
        <v>44</v>
      </c>
      <c r="C27" s="4">
        <v>500000</v>
      </c>
      <c r="D27" s="17">
        <v>2.2000000000000002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1</v>
      </c>
      <c r="N27" s="3">
        <f t="shared" si="0"/>
        <v>5</v>
      </c>
      <c r="O27" s="3">
        <f t="shared" si="1"/>
        <v>0.8</v>
      </c>
      <c r="P27" s="8">
        <f t="shared" si="2"/>
        <v>0.36363636363636365</v>
      </c>
      <c r="Q27" s="8">
        <f t="shared" si="3"/>
        <v>0.19230769230769232</v>
      </c>
      <c r="R27" s="8">
        <f t="shared" si="4"/>
        <v>0</v>
      </c>
      <c r="S27" s="8">
        <f t="shared" si="5"/>
        <v>0.55284918679805051</v>
      </c>
      <c r="T27" s="3">
        <f t="shared" si="6"/>
        <v>3</v>
      </c>
    </row>
    <row r="28" spans="1:21" x14ac:dyDescent="0.3">
      <c r="A28" s="10">
        <v>7</v>
      </c>
      <c r="B28" s="5" t="s">
        <v>45</v>
      </c>
      <c r="C28" s="4">
        <v>750000</v>
      </c>
      <c r="D28" s="17">
        <v>4.2</v>
      </c>
      <c r="E28" s="4">
        <v>0</v>
      </c>
      <c r="F28" s="4">
        <v>0</v>
      </c>
      <c r="G28" s="4">
        <v>0</v>
      </c>
      <c r="H28" s="4">
        <v>0</v>
      </c>
      <c r="I28" s="4">
        <v>1</v>
      </c>
      <c r="J28" s="4">
        <v>1</v>
      </c>
      <c r="K28" s="4">
        <v>1</v>
      </c>
      <c r="L28" s="4">
        <v>0</v>
      </c>
      <c r="M28" s="4">
        <v>1</v>
      </c>
      <c r="N28" s="3">
        <f t="shared" si="0"/>
        <v>11</v>
      </c>
      <c r="O28" s="16">
        <f t="shared" si="1"/>
        <v>0.53333333333333333</v>
      </c>
      <c r="P28" s="8">
        <f t="shared" si="2"/>
        <v>0.19047619047619047</v>
      </c>
      <c r="Q28" s="8">
        <f t="shared" si="3"/>
        <v>0.42307692307692307</v>
      </c>
      <c r="R28" s="8">
        <f t="shared" si="4"/>
        <v>0</v>
      </c>
      <c r="S28" s="8">
        <f t="shared" si="5"/>
        <v>0.39320647110825685</v>
      </c>
      <c r="T28" s="3">
        <f t="shared" si="6"/>
        <v>8</v>
      </c>
    </row>
    <row r="29" spans="1:21" x14ac:dyDescent="0.3">
      <c r="A29" s="10">
        <v>8</v>
      </c>
      <c r="B29" s="5" t="s">
        <v>46</v>
      </c>
      <c r="C29" s="4">
        <v>700000</v>
      </c>
      <c r="D29" s="17">
        <v>0.8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1</v>
      </c>
      <c r="K29" s="4">
        <v>1</v>
      </c>
      <c r="L29" s="4">
        <v>0</v>
      </c>
      <c r="M29" s="4">
        <v>1</v>
      </c>
      <c r="N29" s="3">
        <f t="shared" si="0"/>
        <v>11</v>
      </c>
      <c r="O29" s="16">
        <f t="shared" si="1"/>
        <v>0.5714285714285714</v>
      </c>
      <c r="P29" s="8">
        <f t="shared" si="2"/>
        <v>1</v>
      </c>
      <c r="Q29" s="8">
        <f t="shared" si="3"/>
        <v>0.42307692307692307</v>
      </c>
      <c r="R29" s="8">
        <f t="shared" si="4"/>
        <v>0</v>
      </c>
      <c r="S29" s="8">
        <f t="shared" si="5"/>
        <v>0.60502555480234066</v>
      </c>
      <c r="T29" s="3">
        <f t="shared" si="6"/>
        <v>2</v>
      </c>
    </row>
    <row r="30" spans="1:21" x14ac:dyDescent="0.3">
      <c r="A30" s="10">
        <v>9</v>
      </c>
      <c r="B30" s="5" t="s">
        <v>47</v>
      </c>
      <c r="C30" s="4">
        <v>1300000</v>
      </c>
      <c r="D30" s="17">
        <v>2.5</v>
      </c>
      <c r="E30" s="4">
        <v>0</v>
      </c>
      <c r="F30" s="4">
        <v>0</v>
      </c>
      <c r="G30" s="4">
        <v>1</v>
      </c>
      <c r="H30" s="4">
        <v>0</v>
      </c>
      <c r="I30" s="4">
        <v>1</v>
      </c>
      <c r="J30" s="4">
        <v>1</v>
      </c>
      <c r="K30" s="4">
        <v>1</v>
      </c>
      <c r="L30" s="4">
        <v>0</v>
      </c>
      <c r="M30" s="4">
        <v>1</v>
      </c>
      <c r="N30" s="3">
        <f t="shared" si="0"/>
        <v>15</v>
      </c>
      <c r="O30" s="16">
        <f t="shared" si="1"/>
        <v>0.30769230769230771</v>
      </c>
      <c r="P30" s="8">
        <f t="shared" si="2"/>
        <v>0.32</v>
      </c>
      <c r="Q30" s="8">
        <f t="shared" si="3"/>
        <v>0.57692307692307687</v>
      </c>
      <c r="R30" s="8">
        <f t="shared" si="4"/>
        <v>0</v>
      </c>
      <c r="S30" s="8">
        <f t="shared" si="5"/>
        <v>0.31797775141525142</v>
      </c>
      <c r="T30" s="3">
        <f t="shared" si="6"/>
        <v>10</v>
      </c>
    </row>
    <row r="31" spans="1:21" x14ac:dyDescent="0.3">
      <c r="A31" s="10">
        <v>10</v>
      </c>
      <c r="B31" s="5" t="s">
        <v>42</v>
      </c>
      <c r="C31" s="4">
        <v>650000</v>
      </c>
      <c r="D31" s="17">
        <v>5.2</v>
      </c>
      <c r="E31" s="4">
        <v>0</v>
      </c>
      <c r="F31" s="4">
        <v>0</v>
      </c>
      <c r="G31" s="4">
        <v>0</v>
      </c>
      <c r="H31" s="4">
        <v>0</v>
      </c>
      <c r="I31" s="4">
        <v>1</v>
      </c>
      <c r="J31" s="4">
        <v>1</v>
      </c>
      <c r="K31" s="4">
        <v>0</v>
      </c>
      <c r="L31" s="4">
        <v>0</v>
      </c>
      <c r="M31" s="4">
        <v>1</v>
      </c>
      <c r="N31" s="3">
        <f t="shared" si="0"/>
        <v>9</v>
      </c>
      <c r="O31" s="16">
        <f t="shared" si="1"/>
        <v>0.61538461538461542</v>
      </c>
      <c r="P31" s="8">
        <f t="shared" si="2"/>
        <v>0.15384615384615385</v>
      </c>
      <c r="Q31" s="8">
        <f t="shared" si="3"/>
        <v>0.34615384615384615</v>
      </c>
      <c r="R31" s="8">
        <f t="shared" si="4"/>
        <v>0</v>
      </c>
      <c r="S31" s="8">
        <f t="shared" si="5"/>
        <v>0.42040511571761574</v>
      </c>
      <c r="T31" s="3">
        <f t="shared" si="6"/>
        <v>7</v>
      </c>
    </row>
    <row r="32" spans="1:21" x14ac:dyDescent="0.3">
      <c r="A32" s="10">
        <v>11</v>
      </c>
      <c r="B32" s="5" t="s">
        <v>48</v>
      </c>
      <c r="C32" s="4">
        <v>400000</v>
      </c>
      <c r="D32" s="17">
        <v>1.3</v>
      </c>
      <c r="E32" s="4">
        <v>3.8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3">
        <f t="shared" ref="N32" si="7">F32*$J$6+G32*$J$7+H32*$J$8+I32*$J$9+J32*$J$10+K32*$J$11+L32*$J$12+M32*$J$13</f>
        <v>26</v>
      </c>
      <c r="O32" s="8">
        <f t="shared" si="1"/>
        <v>1</v>
      </c>
      <c r="P32" s="8">
        <f t="shared" si="2"/>
        <v>0.61538461538461542</v>
      </c>
      <c r="Q32" s="8">
        <f t="shared" ref="Q32" si="8">IFERROR(VALUE(N32)/$J$14,0)</f>
        <v>1</v>
      </c>
      <c r="R32" s="8">
        <f t="shared" si="4"/>
        <v>1</v>
      </c>
      <c r="S32" s="8">
        <f t="shared" si="5"/>
        <v>0.90938748751248744</v>
      </c>
      <c r="T32" s="3">
        <f t="shared" si="6"/>
        <v>1</v>
      </c>
    </row>
    <row r="44" spans="2:4" x14ac:dyDescent="0.3">
      <c r="B44" s="11" t="s">
        <v>33</v>
      </c>
      <c r="C44" s="12"/>
      <c r="D44" s="12"/>
    </row>
    <row r="45" spans="2:4" x14ac:dyDescent="0.3">
      <c r="B45" s="1" t="s">
        <v>34</v>
      </c>
      <c r="C45" s="1" t="s">
        <v>22</v>
      </c>
      <c r="D45" s="1" t="s">
        <v>35</v>
      </c>
    </row>
    <row r="46" spans="2:4" x14ac:dyDescent="0.3">
      <c r="B46" s="3">
        <v>1</v>
      </c>
      <c r="C46" s="3" t="str" cm="1">
        <f t="array" ref="C46">IFERROR(INDEX($B$22:$B$31, MATCH(LARGE($U$22:$U$32+ROW($U$22:$U$32)/1000000, 1), $U$22:$U$32+ROW($U$22:$U$32)/1000000, 0)), "")</f>
        <v>Kos Netti</v>
      </c>
      <c r="D46" s="7">
        <f>$E$18 / COUNTA($B$22:$B$32)</f>
        <v>0</v>
      </c>
    </row>
    <row r="47" spans="2:4" x14ac:dyDescent="0.3">
      <c r="B47" s="3">
        <v>2</v>
      </c>
      <c r="C47" s="3" t="str" cm="1">
        <f t="array" ref="C47">IFERROR(INDEX($B$22:$B$31, MATCH(LARGE($U$22:$U$32+ROW($U$22:$U$32)/1000000, 2), $U$22:$U$32+ROW($U$22:$U$32)/1000000, 0)), "")</f>
        <v>Kos Elemloi</v>
      </c>
      <c r="D47" s="7">
        <f>$E$18 / COUNTA($B$22:$B$32)</f>
        <v>0</v>
      </c>
    </row>
    <row r="48" spans="2:4" x14ac:dyDescent="0.3">
      <c r="B48" s="3">
        <v>3</v>
      </c>
      <c r="C48" s="3" t="str" cm="1">
        <f t="array" ref="C48">IFERROR(INDEX($B$22:$B$31, MATCH(LARGE($U$22:$U$32+ROW($U$22:$U$32)/1000000, 3), $U$22:$U$32+ROW($U$22:$U$32)/1000000, 0)), "")</f>
        <v>Kos Herman</v>
      </c>
      <c r="D48" s="7">
        <f>$E$18 / COUNTA($B$22:$B$32)</f>
        <v>0</v>
      </c>
    </row>
    <row r="49" spans="2:4" x14ac:dyDescent="0.3">
      <c r="B49" s="3">
        <v>4</v>
      </c>
      <c r="C49" s="3" t="str" cm="1">
        <f t="array" ref="C49">IFERROR(INDEX($B$22:$B$31, MATCH(LARGE($U$22:$U$32+ROW($U$22:$U$32)/1000000, 4), $U$22:$U$32+ROW($U$22:$U$32)/1000000, 0)), "")</f>
        <v>Kos Lexa</v>
      </c>
      <c r="D49" s="7">
        <f t="shared" ref="D49:D55" si="9">$E$18 / COUNTA($B$22:$B$32)</f>
        <v>0</v>
      </c>
    </row>
    <row r="50" spans="2:4" x14ac:dyDescent="0.3">
      <c r="B50" s="3">
        <v>5</v>
      </c>
      <c r="C50" s="3" t="str" cm="1">
        <f t="array" ref="C50">IFERROR(INDEX($B$22:$B$31, MATCH(LARGE($U$22:$U$32+ROW($U$22:$U$32)/1000000, 6), $U$22:$U$32+ROW($U$22:$U$32)/1000000, 0)), "")</f>
        <v>Kos Iben</v>
      </c>
      <c r="D50" s="7">
        <f t="shared" si="9"/>
        <v>0</v>
      </c>
    </row>
    <row r="51" spans="2:4" x14ac:dyDescent="0.3">
      <c r="B51" s="3">
        <v>6</v>
      </c>
      <c r="C51" s="3" t="str" cm="1">
        <f t="array" ref="C51">IFERROR(INDEX($B$22:$B$31, MATCH(LARGE($U$22:$U$32+ROW($U$22:$U$32)/1000000, 7), $U$22:$U$32+ROW($U$22:$U$32)/1000000, 0)), "")</f>
        <v>Kos Azul</v>
      </c>
      <c r="D51" s="7">
        <f t="shared" si="9"/>
        <v>0</v>
      </c>
    </row>
    <row r="52" spans="2:4" x14ac:dyDescent="0.3">
      <c r="B52" s="3">
        <v>7</v>
      </c>
      <c r="C52" s="3" t="str" cm="1">
        <f t="array" ref="C52">IFERROR(INDEX($B$22:$B$31, MATCH(LARGE($U$22:$U$32+ROW($U$22:$U$32)/1000000, 8), $U$22:$U$32+ROW($U$22:$U$32)/1000000, 0)), "")</f>
        <v>Kos Delta</v>
      </c>
      <c r="D52" s="7">
        <f t="shared" si="9"/>
        <v>0</v>
      </c>
    </row>
    <row r="53" spans="2:4" x14ac:dyDescent="0.3">
      <c r="B53" s="3">
        <v>8</v>
      </c>
      <c r="C53" s="3" t="str" cm="1">
        <f t="array" ref="C53">IFERROR(INDEX($B$22:$B$31, MATCH(LARGE($U$22:$U$32+ROW($U$22:$U$32)/1000000, 9), $U$22:$U$32+ROW($U$22:$U$32)/1000000, 0)), "")</f>
        <v>Kos Loriku</v>
      </c>
      <c r="D53" s="7">
        <f t="shared" si="9"/>
        <v>0</v>
      </c>
    </row>
    <row r="54" spans="2:4" x14ac:dyDescent="0.3">
      <c r="B54" s="3">
        <v>9</v>
      </c>
      <c r="C54" s="3" t="str" cm="1">
        <f t="array" ref="C54">IFERROR(INDEX($B$22:$B$31, MATCH(LARGE($U$22:$U$32+ROW($U$22:$U$32)/1000000, 10), $U$22:$U$32+ROW($U$22:$U$32)/1000000, 0)), "")</f>
        <v>Kos Mesak</v>
      </c>
      <c r="D54" s="7">
        <f t="shared" si="9"/>
        <v>0</v>
      </c>
    </row>
    <row r="55" spans="2:4" x14ac:dyDescent="0.3">
      <c r="B55" s="3">
        <v>10</v>
      </c>
      <c r="C55" s="3" t="str" cm="1">
        <f t="array" ref="C55">IFERROR(INDEX($B$22:$B$31, MATCH(LARGE($U$22:$U$32+ROW($U$22:$U$32)/1000000, 11), $U$22:$U$32+ROW($U$22:$U$32)/1000000, 0)), "")</f>
        <v>Kos Kemak</v>
      </c>
      <c r="D55" s="7">
        <f t="shared" si="9"/>
        <v>0</v>
      </c>
    </row>
  </sheetData>
  <mergeCells count="7">
    <mergeCell ref="B44:D44"/>
    <mergeCell ref="B1:J1"/>
    <mergeCell ref="B12:G12"/>
    <mergeCell ref="I4:J4"/>
    <mergeCell ref="B4:F4"/>
    <mergeCell ref="B2:J2"/>
    <mergeCell ref="A20:T20"/>
  </mergeCells>
  <dataValidations count="2">
    <dataValidation type="decimal" operator="greaterThan" allowBlank="1" errorTitle="Input tidak valid" error="Nilai pairwise harus lebih besar dari 0" promptTitle="Input pairwise" prompt="Masukkan nilai &gt; 0" sqref="D6:F6 E7:F7 F8" xr:uid="{F9AB4CF1-180D-DD45-AD9C-C851F4758D87}">
      <formula1>0</formula1>
    </dataValidation>
    <dataValidation type="whole" allowBlank="1" errorTitle="Input tidak valid" error="Isi 0 atau 1" promptTitle="Input fasilitas" prompt="1 = ada fasilitas, 0 = tidak ada" sqref="F22:M32" xr:uid="{57D7AC42-B134-0D40-8662-8FBD4230E2B3}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Mauhatu</cp:lastModifiedBy>
  <dcterms:created xsi:type="dcterms:W3CDTF">2026-04-18T13:56:56Z</dcterms:created>
  <dcterms:modified xsi:type="dcterms:W3CDTF">2026-06-03T11:03:23Z</dcterms:modified>
</cp:coreProperties>
</file>